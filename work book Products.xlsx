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maples\"/>
    </mc:Choice>
  </mc:AlternateContent>
  <xr:revisionPtr revIDLastSave="0" documentId="8_{AC4A5DDA-F728-4AD9-874C-EF144687AC9F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roduct Sales" sheetId="1" r:id="rId1"/>
    <sheet name="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5" i="3"/>
  <c r="B4" i="3"/>
  <c r="B3" i="3"/>
  <c r="B2" i="3"/>
</calcChain>
</file>

<file path=xl/sharedStrings.xml><?xml version="1.0" encoding="utf-8"?>
<sst xmlns="http://schemas.openxmlformats.org/spreadsheetml/2006/main" count="168" uniqueCount="161">
  <si>
    <t>ProductID</t>
  </si>
  <si>
    <t>ProductName</t>
  </si>
  <si>
    <t>SupplierID</t>
  </si>
  <si>
    <t>CategoryID</t>
  </si>
  <si>
    <t>Unit</t>
  </si>
  <si>
    <t>Price</t>
  </si>
  <si>
    <t>Chais</t>
  </si>
  <si>
    <t>10 boxes x 20 bags</t>
  </si>
  <si>
    <t>Chang</t>
  </si>
  <si>
    <t>24 - 12 oz bottles</t>
  </si>
  <si>
    <t>Aniseed Syrup</t>
  </si>
  <si>
    <t>12 - 550 ml bottles</t>
  </si>
  <si>
    <t>Chef Antons Cajun Seasoning</t>
  </si>
  <si>
    <t>48 - 6 oz jars</t>
  </si>
  <si>
    <t>Chef Antons Gumbo Mix</t>
  </si>
  <si>
    <t>36 boxes</t>
  </si>
  <si>
    <t>Grandmas Boysenberry Spread</t>
  </si>
  <si>
    <t>12 - 8 oz jars</t>
  </si>
  <si>
    <t>Uncle Bobs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</si>
  <si>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</si>
  <si>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</si>
  <si>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</si>
  <si>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</si>
  <si>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</si>
  <si>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</si>
  <si>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</si>
  <si>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</si>
  <si>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</si>
  <si>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</si>
  <si>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</si>
  <si>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</si>
  <si>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</si>
  <si>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</si>
  <si>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</si>
  <si>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</si>
  <si>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</si>
  <si>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</si>
  <si>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</si>
  <si>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</si>
  <si>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</si>
  <si>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</si>
  <si>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</si>
  <si>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</si>
  <si>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</si>
  <si>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Rodneys Marmalade</t>
  </si>
  <si>
    <t>30 gift boxes</t>
  </si>
  <si>
    <t>Sir Rodneys Scones</t>
  </si>
  <si>
    <t>24 pkgs. x 4 pieces</t>
  </si>
  <si>
    <t>Gustafs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</si>
  <si>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</si>
  <si>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</si>
  <si>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</si>
  <si>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</si>
  <si>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</si>
  <si>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</si>
  <si>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</si>
  <si>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</si>
  <si>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</si>
  <si>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</si>
  <si>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</si>
  <si>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</si>
  <si>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</si>
  <si>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</si>
  <si>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</si>
  <si>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</si>
  <si>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</si>
  <si>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</si>
  <si>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</si>
  <si>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</si>
  <si>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</si>
  <si>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</si>
  <si>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</si>
  <si>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</si>
  <si>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</si>
  <si>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</si>
  <si>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</si>
  <si>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</si>
  <si>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</si>
  <si>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</si>
  <si>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</si>
  <si>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</si>
  <si>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</si>
  <si>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</si>
  <si>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</si>
  <si>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</si>
  <si>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</si>
  <si>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</si>
  <si>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</si>
  <si>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</si>
  <si>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</si>
  <si>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</si>
  <si>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</si>
  <si>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</si>
  <si>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</si>
  <si>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</si>
  <si>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</si>
  <si>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</si>
  <si>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</si>
  <si>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</si>
  <si>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</si>
  <si>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</si>
  <si>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</si>
  <si>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</si>
  <si>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</si>
  <si>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</si>
  <si>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</si>
  <si>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</si>
  <si>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</si>
  <si>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</si>
  <si>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</si>
  <si>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</si>
  <si>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</si>
  <si>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</si>
  <si>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</si>
  <si>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</si>
  <si>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</si>
  <si>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</si>
  <si>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</si>
  <si>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</si>
  <si>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</si>
  <si>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</si>
  <si>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</si>
  <si>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</si>
  <si>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</si>
  <si>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</si>
  <si>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</si>
  <si>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</si>
  <si>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</si>
  <si>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</si>
  <si>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</si>
  <si>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</si>
  <si>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</si>
  <si>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</si>
  <si>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</si>
  <si>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</si>
  <si>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</si>
  <si>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</si>
  <si>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</si>
  <si>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</si>
  <si>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</si>
  <si>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</si>
  <si>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</si>
  <si>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</si>
  <si>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</si>
  <si>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</si>
  <si>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</si>
  <si>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</si>
  <si>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</si>
  <si>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</si>
  <si>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</si>
  <si>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</si>
  <si>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</si>
  <si>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</si>
  <si>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Total Price</t>
  </si>
  <si>
    <t>Average Price</t>
  </si>
  <si>
    <t>Max Price</t>
  </si>
  <si>
    <t>MIN Price</t>
  </si>
  <si>
    <t>Total supplies</t>
  </si>
  <si>
    <t>Average Supplies</t>
  </si>
  <si>
    <t>Max Supplies</t>
  </si>
  <si>
    <t>Miin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</si>
</sst>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6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2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166" fontId="0" fillId="0" borderId="1" xfId="1" applyNumberFormat="1" applyFont="1" applyBorder="1"/>
    <xf numFmtId="166" fontId="0" fillId="0" borderId="1" xfId="0" applyNumberFormat="1" applyBorder="1"/>
    <xf numFmtId="0" fontId="4" fillId="0" borderId="1" xfId="0" applyFont="1" applyBorder="1"/>
    <xf numFmtId="1" fontId="0" fillId="0" borderId="1" xfId="0" applyNumberFormat="1" applyBorder="1"/>
  </cellXfs>
  <cellStyles count="2">
    <cellStyle name="Currency" xfId="1" builtinId="4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3623323126275882"/>
          <c:w val="0.88386351706036748"/>
          <c:h val="0.7059809711286089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'Product Sales'!$A$2:$A$78</c:f>
              <c:numCache>
                <c:formatCode>General</c:formatCod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cat>
          <c:val>
            <c:numRef>
              <c:f>'Product Sales'!$F$2:$F$78</c:f>
              <c:numCache>
                <c:formatCode>General</c:formatCode>
                <c:ptCount val="77"/>
                <c:pt idx="0">
                  <c:v>18</c:v>
                </c:pt>
                <c:pt idx="1">
                  <c:v>19</c:v>
                </c:pt>
                <c:pt idx="2">
                  <c:v>10</c:v>
                </c:pt>
                <c:pt idx="3">
                  <c:v>22</c:v>
                </c:pt>
                <c:pt idx="4">
                  <c:v>21.35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97</c:v>
                </c:pt>
                <c:pt idx="9">
                  <c:v>31</c:v>
                </c:pt>
                <c:pt idx="10">
                  <c:v>21</c:v>
                </c:pt>
                <c:pt idx="11">
                  <c:v>38</c:v>
                </c:pt>
                <c:pt idx="12">
                  <c:v>6</c:v>
                </c:pt>
                <c:pt idx="13">
                  <c:v>23.25</c:v>
                </c:pt>
                <c:pt idx="14">
                  <c:v>15.5</c:v>
                </c:pt>
                <c:pt idx="15">
                  <c:v>17.45</c:v>
                </c:pt>
                <c:pt idx="16">
                  <c:v>39</c:v>
                </c:pt>
                <c:pt idx="17">
                  <c:v>62.5</c:v>
                </c:pt>
                <c:pt idx="18">
                  <c:v>9.1999999999999993</c:v>
                </c:pt>
                <c:pt idx="19">
                  <c:v>81</c:v>
                </c:pt>
                <c:pt idx="20">
                  <c:v>10</c:v>
                </c:pt>
                <c:pt idx="21">
                  <c:v>21</c:v>
                </c:pt>
                <c:pt idx="22">
                  <c:v>9</c:v>
                </c:pt>
                <c:pt idx="23">
                  <c:v>4.5</c:v>
                </c:pt>
                <c:pt idx="24">
                  <c:v>14</c:v>
                </c:pt>
                <c:pt idx="25">
                  <c:v>31.23</c:v>
                </c:pt>
                <c:pt idx="26">
                  <c:v>43.9</c:v>
                </c:pt>
                <c:pt idx="27">
                  <c:v>45.6</c:v>
                </c:pt>
                <c:pt idx="28">
                  <c:v>123.79</c:v>
                </c:pt>
                <c:pt idx="29">
                  <c:v>25.89</c:v>
                </c:pt>
                <c:pt idx="30">
                  <c:v>12.5</c:v>
                </c:pt>
                <c:pt idx="31">
                  <c:v>32</c:v>
                </c:pt>
                <c:pt idx="32">
                  <c:v>2.5</c:v>
                </c:pt>
                <c:pt idx="33">
                  <c:v>14</c:v>
                </c:pt>
                <c:pt idx="34">
                  <c:v>18</c:v>
                </c:pt>
                <c:pt idx="35">
                  <c:v>19</c:v>
                </c:pt>
                <c:pt idx="36">
                  <c:v>26</c:v>
                </c:pt>
                <c:pt idx="37">
                  <c:v>263.5</c:v>
                </c:pt>
                <c:pt idx="38">
                  <c:v>18</c:v>
                </c:pt>
                <c:pt idx="39">
                  <c:v>18.399999999999999</c:v>
                </c:pt>
                <c:pt idx="40">
                  <c:v>9.65</c:v>
                </c:pt>
                <c:pt idx="41">
                  <c:v>14</c:v>
                </c:pt>
                <c:pt idx="42">
                  <c:v>46</c:v>
                </c:pt>
                <c:pt idx="43">
                  <c:v>19.45</c:v>
                </c:pt>
                <c:pt idx="44">
                  <c:v>9.5</c:v>
                </c:pt>
                <c:pt idx="45">
                  <c:v>12</c:v>
                </c:pt>
                <c:pt idx="46">
                  <c:v>9.5</c:v>
                </c:pt>
                <c:pt idx="47">
                  <c:v>12.75</c:v>
                </c:pt>
                <c:pt idx="48">
                  <c:v>20</c:v>
                </c:pt>
                <c:pt idx="49">
                  <c:v>16.25</c:v>
                </c:pt>
                <c:pt idx="50">
                  <c:v>53</c:v>
                </c:pt>
                <c:pt idx="51">
                  <c:v>7</c:v>
                </c:pt>
                <c:pt idx="52">
                  <c:v>32.799999999999997</c:v>
                </c:pt>
                <c:pt idx="53">
                  <c:v>7.45</c:v>
                </c:pt>
                <c:pt idx="54">
                  <c:v>24</c:v>
                </c:pt>
                <c:pt idx="55">
                  <c:v>38</c:v>
                </c:pt>
                <c:pt idx="56">
                  <c:v>19.5</c:v>
                </c:pt>
                <c:pt idx="57">
                  <c:v>13.25</c:v>
                </c:pt>
                <c:pt idx="58">
                  <c:v>55</c:v>
                </c:pt>
                <c:pt idx="59">
                  <c:v>34</c:v>
                </c:pt>
                <c:pt idx="60">
                  <c:v>28.5</c:v>
                </c:pt>
                <c:pt idx="61">
                  <c:v>49.3</c:v>
                </c:pt>
                <c:pt idx="62">
                  <c:v>43.9</c:v>
                </c:pt>
                <c:pt idx="63">
                  <c:v>33.25</c:v>
                </c:pt>
                <c:pt idx="64">
                  <c:v>21.05</c:v>
                </c:pt>
                <c:pt idx="65">
                  <c:v>17</c:v>
                </c:pt>
                <c:pt idx="66">
                  <c:v>14</c:v>
                </c:pt>
                <c:pt idx="67">
                  <c:v>12.5</c:v>
                </c:pt>
                <c:pt idx="68">
                  <c:v>36</c:v>
                </c:pt>
                <c:pt idx="69">
                  <c:v>15</c:v>
                </c:pt>
                <c:pt idx="70">
                  <c:v>21.5</c:v>
                </c:pt>
                <c:pt idx="71">
                  <c:v>34.799999999999997</c:v>
                </c:pt>
                <c:pt idx="72">
                  <c:v>15</c:v>
                </c:pt>
                <c:pt idx="73">
                  <c:v>10</c:v>
                </c:pt>
                <c:pt idx="74">
                  <c:v>7.75</c:v>
                </c:pt>
                <c:pt idx="75">
                  <c:v>18</c:v>
                </c:pt>
                <c:pt idx="7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B-4DE3-AD78-019C8CAF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2404367"/>
        <c:axId val="1052402927"/>
      </c:barChart>
      <c:catAx>
        <c:axId val="105240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02927"/>
        <c:crosses val="autoZero"/>
        <c:auto val="1"/>
        <c:lblAlgn val="ctr"/>
        <c:lblOffset val="100"/>
        <c:noMultiLvlLbl val="0"/>
      </c:catAx>
      <c:valAx>
        <c:axId val="105240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04367"/>
        <c:crosses val="autoZero"/>
        <c:crossBetween val="between"/>
      </c:valAx>
      <c:spPr>
        <a:noFill/>
        <a:ln w="0" cmpd="sng">
          <a:solidFill>
            <a:schemeClr val="accent1"/>
          </a:solidFill>
        </a:ln>
        <a:effectLst>
          <a:outerShdw blurRad="50800" dist="50800" dir="5400000" sx="102000" sy="102000" algn="ctr" rotWithShape="0">
            <a:srgbClr val="000000">
              <a:alpha val="43137"/>
            </a:srgbClr>
          </a:outerShdw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Supplies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6093613298338"/>
          <c:y val="0.19486111111111112"/>
          <c:w val="0.7295017497812773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Summary!$A$19:$A$22</c:f>
              <c:strCache>
                <c:ptCount val="4"/>
                <c:pt idx="0">
                  <c:v>Total supplies</c:v>
                </c:pt>
                <c:pt idx="1">
                  <c:v>Average Supplies</c:v>
                </c:pt>
                <c:pt idx="2">
                  <c:v>Max Supplies</c:v>
                </c:pt>
                <c:pt idx="3">
                  <c:v>Miin Supplies</c:v>
                </c:pt>
              </c:strCache>
            </c:strRef>
          </c:cat>
          <c:val>
            <c:numRef>
              <c:f>Summary!$B$19:$B$22</c:f>
              <c:numCache>
                <c:formatCode>0</c:formatCode>
                <c:ptCount val="4"/>
                <c:pt idx="0" formatCode="General">
                  <c:v>1051</c:v>
                </c:pt>
                <c:pt idx="1">
                  <c:v>13.64935064935065</c:v>
                </c:pt>
                <c:pt idx="2" formatCode="General">
                  <c:v>29</c:v>
                </c:pt>
                <c:pt idx="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5-4B4F-A87D-0FA23E9C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6287151"/>
        <c:axId val="1168361663"/>
      </c:barChart>
      <c:catAx>
        <c:axId val="13062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61663"/>
        <c:crosses val="autoZero"/>
        <c:auto val="1"/>
        <c:lblAlgn val="ctr"/>
        <c:lblOffset val="100"/>
        <c:noMultiLvlLbl val="0"/>
      </c:catAx>
      <c:valAx>
        <c:axId val="116836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8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Summary!$A$19:$A$22</c:f>
              <c:strCache>
                <c:ptCount val="4"/>
                <c:pt idx="0">
                  <c:v>Total supplies</c:v>
                </c:pt>
                <c:pt idx="1">
                  <c:v>Average Supplies</c:v>
                </c:pt>
                <c:pt idx="2">
                  <c:v>Max Supplies</c:v>
                </c:pt>
                <c:pt idx="3">
                  <c:v>Miin Supplies</c:v>
                </c:pt>
              </c:strCache>
            </c:strRef>
          </c:cat>
          <c:val>
            <c:numRef>
              <c:f>Summary!$B$19:$B$22</c:f>
              <c:numCache>
                <c:formatCode>0</c:formatCode>
                <c:ptCount val="4"/>
                <c:pt idx="0" formatCode="General">
                  <c:v>1051</c:v>
                </c:pt>
                <c:pt idx="1">
                  <c:v>13.64935064935065</c:v>
                </c:pt>
                <c:pt idx="2" formatCode="General">
                  <c:v>29</c:v>
                </c:pt>
                <c:pt idx="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2BD-9865-CD56971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268941</xdr:colOff>
      <xdr:row>15</xdr:row>
      <xdr:rowOff>161365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91C4F-FEB7-4D19-9F5D-55CC86D8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461042</xdr:colOff>
      <xdr:row>17</xdr:row>
      <xdr:rowOff>11525</xdr:rowOff>
    </xdr:from>
    <xdr:to>
      <xdr:col>10</xdr:col>
      <xdr:colOff>115260</xdr:colOff>
      <xdr:row>31</xdr:row>
      <xdr:rowOff>172890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9CC74A-DAF4-F146-7998-D75CCADE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153680</xdr:colOff>
      <xdr:row>16</xdr:row>
      <xdr:rowOff>180574</xdr:rowOff>
    </xdr:from>
    <xdr:to>
      <xdr:col>16</xdr:col>
      <xdr:colOff>507146</xdr:colOff>
      <xdr:row>31</xdr:row>
      <xdr:rowOff>157522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E84956-5108-99E8-EEDF-7063A96E6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466E1-5D30-473F-8F56-3DB78446D1B1}" name="Table1" displayName="Table1" ref="A1:F78" totalsRowShown="0" headerRowDxfId="12" dataDxfId="10" headerRowBorderDxfId="11" tableBorderDxfId="9">
  <autoFilter ref="A1:F78" xr:uid="{B93466E1-5D30-473F-8F56-3DB78446D1B1}"/>
  <tableColumns count="6">
    <tableColumn id="1" xr3:uid="{E5D667F0-D3AC-4A53-B59F-76AB2D183DB2}" name="ProductID" dataDxfId="8"/>
    <tableColumn id="2" xr3:uid="{EC4B6894-BAE9-4591-85B9-65EB026964E8}" name="ProductName" dataDxfId="7"/>
    <tableColumn id="3" xr3:uid="{E7FFD982-E14F-4B49-A876-9265385B713B}" name="SupplierID" dataDxfId="6"/>
    <tableColumn id="4" xr3:uid="{0EF6736A-5EB7-4D6B-9003-3BE00236443C}" name="CategoryID" dataDxfId="5"/>
    <tableColumn id="5" xr3:uid="{5B517B4E-B66E-4DC3-85DD-6AEA1CFEC8AF}" name="Unit" dataDxfId="4"/>
    <tableColumn id="6" xr3:uid="{0445CE77-C0AB-4566-A78D-8A2E7656B3BA}" name="Price" dataDxfId="3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31" workbookViewId="0">
      <selection activeCell="A13" sqref="A13"/>
    </sheetView>
  </sheetViews>
  <sheetFormatPr defaultRowHeight="14.55" x14ac:dyDescent="0.3"/>
  <cols>
    <col min="1" max="1" width="19.109375" style="1" customWidth="1"/>
    <col min="2" max="2" width="20.77734375" customWidth="1"/>
    <col min="3" max="3" width="20.21875" style="1" customWidth="1"/>
    <col min="4" max="4" width="15.88671875" style="1" bestFit="1" customWidth="1"/>
    <col min="5" max="5" width="29.5546875" customWidth="1"/>
    <col min="6" max="6" width="13" style="1" customWidth="1"/>
  </cols>
  <sheetData>
    <row r="1" spans="1:6" ht="16.350000000000001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3">
      <c r="A2" s="4">
        <v>1</v>
      </c>
      <c r="B2" s="5" t="s">
        <v>6</v>
      </c>
      <c r="C2" s="4">
        <v>1</v>
      </c>
      <c r="D2" s="4">
        <v>1</v>
      </c>
      <c r="E2" s="5" t="s">
        <v>7</v>
      </c>
      <c r="F2" s="4">
        <v>18</v>
      </c>
    </row>
    <row r="3" spans="1:6" x14ac:dyDescent="0.3">
      <c r="A3" s="6">
        <v>2</v>
      </c>
      <c r="B3" s="7" t="s">
        <v>8</v>
      </c>
      <c r="C3" s="6">
        <v>1</v>
      </c>
      <c r="D3" s="6">
        <v>1</v>
      </c>
      <c r="E3" s="7" t="s">
        <v>9</v>
      </c>
      <c r="F3" s="6">
        <v>19</v>
      </c>
    </row>
    <row r="4" spans="1:6" x14ac:dyDescent="0.3">
      <c r="A4" s="4">
        <v>3</v>
      </c>
      <c r="B4" s="5" t="s">
        <v>10</v>
      </c>
      <c r="C4" s="4">
        <v>1</v>
      </c>
      <c r="D4" s="4">
        <v>2</v>
      </c>
      <c r="E4" s="5" t="s">
        <v>11</v>
      </c>
      <c r="F4" s="4">
        <v>10</v>
      </c>
    </row>
    <row r="5" spans="1:6" ht="23" x14ac:dyDescent="0.3">
      <c r="A5" s="6">
        <v>4</v>
      </c>
      <c r="B5" s="7" t="s">
        <v>12</v>
      </c>
      <c r="C5" s="6">
        <v>2</v>
      </c>
      <c r="D5" s="6">
        <v>2</v>
      </c>
      <c r="E5" s="7" t="s">
        <v>13</v>
      </c>
      <c r="F5" s="6">
        <v>22</v>
      </c>
    </row>
    <row r="6" spans="1:6" ht="23" x14ac:dyDescent="0.3">
      <c r="A6" s="4">
        <v>5</v>
      </c>
      <c r="B6" s="5" t="s">
        <v>14</v>
      </c>
      <c r="C6" s="4">
        <v>2</v>
      </c>
      <c r="D6" s="4">
        <v>2</v>
      </c>
      <c r="E6" s="5" t="s">
        <v>15</v>
      </c>
      <c r="F6" s="4">
        <v>21.35</v>
      </c>
    </row>
    <row r="7" spans="1:6" ht="23" x14ac:dyDescent="0.3">
      <c r="A7" s="6">
        <v>6</v>
      </c>
      <c r="B7" s="7" t="s">
        <v>16</v>
      </c>
      <c r="C7" s="6">
        <v>3</v>
      </c>
      <c r="D7" s="6">
        <v>2</v>
      </c>
      <c r="E7" s="7" t="s">
        <v>17</v>
      </c>
      <c r="F7" s="6">
        <v>25</v>
      </c>
    </row>
    <row r="8" spans="1:6" ht="23" x14ac:dyDescent="0.3">
      <c r="A8" s="4">
        <v>7</v>
      </c>
      <c r="B8" s="5" t="s">
        <v>18</v>
      </c>
      <c r="C8" s="4">
        <v>3</v>
      </c>
      <c r="D8" s="4">
        <v>7</v>
      </c>
      <c r="E8" s="5" t="s">
        <v>19</v>
      </c>
      <c r="F8" s="4">
        <v>30</v>
      </c>
    </row>
    <row r="9" spans="1:6" ht="23" x14ac:dyDescent="0.3">
      <c r="A9" s="6">
        <v>8</v>
      </c>
      <c r="B9" s="7" t="s">
        <v>20</v>
      </c>
      <c r="C9" s="6">
        <v>3</v>
      </c>
      <c r="D9" s="6">
        <v>2</v>
      </c>
      <c r="E9" s="7" t="s">
        <v>21</v>
      </c>
      <c r="F9" s="6">
        <v>40</v>
      </c>
    </row>
    <row r="10" spans="1:6" x14ac:dyDescent="0.3">
      <c r="A10" s="4">
        <v>9</v>
      </c>
      <c r="B10" s="5" t="s">
        <v>22</v>
      </c>
      <c r="C10" s="4">
        <v>4</v>
      </c>
      <c r="D10" s="4">
        <v>6</v>
      </c>
      <c r="E10" s="5" t="s">
        <v>23</v>
      </c>
      <c r="F10" s="4">
        <v>97</v>
      </c>
    </row>
    <row r="11" spans="1:6" x14ac:dyDescent="0.3">
      <c r="A11" s="6">
        <v>10</v>
      </c>
      <c r="B11" s="7" t="s">
        <v>24</v>
      </c>
      <c r="C11" s="6">
        <v>4</v>
      </c>
      <c r="D11" s="6">
        <v>8</v>
      </c>
      <c r="E11" s="7" t="s">
        <v>25</v>
      </c>
      <c r="F11" s="6">
        <v>31</v>
      </c>
    </row>
    <row r="12" spans="1:6" x14ac:dyDescent="0.3">
      <c r="A12" s="4">
        <v>11</v>
      </c>
      <c r="B12" s="5" t="s">
        <v>26</v>
      </c>
      <c r="C12" s="4">
        <v>5</v>
      </c>
      <c r="D12" s="4">
        <v>4</v>
      </c>
      <c r="E12" s="5" t="s">
        <v>27</v>
      </c>
      <c r="F12" s="4">
        <v>21</v>
      </c>
    </row>
    <row r="13" spans="1:6" ht="23" x14ac:dyDescent="0.3">
      <c r="A13" s="6">
        <v>12</v>
      </c>
      <c r="B13" s="7" t="s">
        <v>28</v>
      </c>
      <c r="C13" s="6">
        <v>5</v>
      </c>
      <c r="D13" s="6">
        <v>4</v>
      </c>
      <c r="E13" s="7" t="s">
        <v>29</v>
      </c>
      <c r="F13" s="6">
        <v>38</v>
      </c>
    </row>
    <row r="14" spans="1:6" x14ac:dyDescent="0.3">
      <c r="A14" s="4">
        <v>13</v>
      </c>
      <c r="B14" s="5" t="s">
        <v>30</v>
      </c>
      <c r="C14" s="4">
        <v>6</v>
      </c>
      <c r="D14" s="4">
        <v>8</v>
      </c>
      <c r="E14" s="5" t="s">
        <v>31</v>
      </c>
      <c r="F14" s="4">
        <v>6</v>
      </c>
    </row>
    <row r="15" spans="1:6" x14ac:dyDescent="0.3">
      <c r="A15" s="6">
        <v>14</v>
      </c>
      <c r="B15" s="7" t="s">
        <v>32</v>
      </c>
      <c r="C15" s="6">
        <v>6</v>
      </c>
      <c r="D15" s="6">
        <v>7</v>
      </c>
      <c r="E15" s="7" t="s">
        <v>33</v>
      </c>
      <c r="F15" s="6">
        <v>23.25</v>
      </c>
    </row>
    <row r="16" spans="1:6" x14ac:dyDescent="0.3">
      <c r="A16" s="4">
        <v>15</v>
      </c>
      <c r="B16" s="5" t="s">
        <v>34</v>
      </c>
      <c r="C16" s="4">
        <v>6</v>
      </c>
      <c r="D16" s="4">
        <v>2</v>
      </c>
      <c r="E16" s="5" t="s">
        <v>35</v>
      </c>
      <c r="F16" s="4">
        <v>15.5</v>
      </c>
    </row>
    <row r="17" spans="1:6" x14ac:dyDescent="0.3">
      <c r="A17" s="6">
        <v>16</v>
      </c>
      <c r="B17" s="7" t="s">
        <v>36</v>
      </c>
      <c r="C17" s="6">
        <v>7</v>
      </c>
      <c r="D17" s="6">
        <v>3</v>
      </c>
      <c r="E17" s="7" t="s">
        <v>37</v>
      </c>
      <c r="F17" s="6">
        <v>17.45</v>
      </c>
    </row>
    <row r="18" spans="1:6" x14ac:dyDescent="0.3">
      <c r="A18" s="4">
        <v>17</v>
      </c>
      <c r="B18" s="5" t="s">
        <v>38</v>
      </c>
      <c r="C18" s="4">
        <v>7</v>
      </c>
      <c r="D18" s="4">
        <v>6</v>
      </c>
      <c r="E18" s="5" t="s">
        <v>39</v>
      </c>
      <c r="F18" s="4">
        <v>39</v>
      </c>
    </row>
    <row r="19" spans="1:6" x14ac:dyDescent="0.3">
      <c r="A19" s="6">
        <v>18</v>
      </c>
      <c r="B19" s="7" t="s">
        <v>40</v>
      </c>
      <c r="C19" s="6">
        <v>7</v>
      </c>
      <c r="D19" s="6">
        <v>8</v>
      </c>
      <c r="E19" s="7" t="s">
        <v>41</v>
      </c>
      <c r="F19" s="6">
        <v>62.5</v>
      </c>
    </row>
    <row r="20" spans="1:6" ht="23" x14ac:dyDescent="0.3">
      <c r="A20" s="4">
        <v>19</v>
      </c>
      <c r="B20" s="5" t="s">
        <v>42</v>
      </c>
      <c r="C20" s="4">
        <v>8</v>
      </c>
      <c r="D20" s="4">
        <v>3</v>
      </c>
      <c r="E20" s="5" t="s">
        <v>43</v>
      </c>
      <c r="F20" s="4">
        <v>9.1999999999999993</v>
      </c>
    </row>
    <row r="21" spans="1:6" x14ac:dyDescent="0.3">
      <c r="A21" s="6">
        <v>20</v>
      </c>
      <c r="B21" s="7" t="s">
        <v>44</v>
      </c>
      <c r="C21" s="6">
        <v>8</v>
      </c>
      <c r="D21" s="6">
        <v>3</v>
      </c>
      <c r="E21" s="7" t="s">
        <v>45</v>
      </c>
      <c r="F21" s="6">
        <v>81</v>
      </c>
    </row>
    <row r="22" spans="1:6" x14ac:dyDescent="0.3">
      <c r="A22" s="4">
        <v>21</v>
      </c>
      <c r="B22" s="5" t="s">
        <v>46</v>
      </c>
      <c r="C22" s="4">
        <v>8</v>
      </c>
      <c r="D22" s="4">
        <v>3</v>
      </c>
      <c r="E22" s="5" t="s">
        <v>47</v>
      </c>
      <c r="F22" s="4">
        <v>10</v>
      </c>
    </row>
    <row r="23" spans="1:6" x14ac:dyDescent="0.3">
      <c r="A23" s="6">
        <v>22</v>
      </c>
      <c r="B23" s="7" t="s">
        <v>48</v>
      </c>
      <c r="C23" s="6">
        <v>9</v>
      </c>
      <c r="D23" s="6">
        <v>5</v>
      </c>
      <c r="E23" s="7" t="s">
        <v>49</v>
      </c>
      <c r="F23" s="6">
        <v>21</v>
      </c>
    </row>
    <row r="24" spans="1:6" x14ac:dyDescent="0.3">
      <c r="A24" s="4">
        <v>23</v>
      </c>
      <c r="B24" s="5" t="s">
        <v>50</v>
      </c>
      <c r="C24" s="4">
        <v>9</v>
      </c>
      <c r="D24" s="4">
        <v>5</v>
      </c>
      <c r="E24" s="5" t="s">
        <v>51</v>
      </c>
      <c r="F24" s="4">
        <v>9</v>
      </c>
    </row>
    <row r="25" spans="1:6" x14ac:dyDescent="0.3">
      <c r="A25" s="6">
        <v>24</v>
      </c>
      <c r="B25" s="7" t="s">
        <v>52</v>
      </c>
      <c r="C25" s="6">
        <v>10</v>
      </c>
      <c r="D25" s="6">
        <v>1</v>
      </c>
      <c r="E25" s="7" t="s">
        <v>53</v>
      </c>
      <c r="F25" s="6">
        <v>4.5</v>
      </c>
    </row>
    <row r="26" spans="1:6" ht="23" x14ac:dyDescent="0.3">
      <c r="A26" s="4">
        <v>25</v>
      </c>
      <c r="B26" s="5" t="s">
        <v>54</v>
      </c>
      <c r="C26" s="4">
        <v>11</v>
      </c>
      <c r="D26" s="4">
        <v>3</v>
      </c>
      <c r="E26" s="5" t="s">
        <v>55</v>
      </c>
      <c r="F26" s="4">
        <v>14</v>
      </c>
    </row>
    <row r="27" spans="1:6" ht="23" x14ac:dyDescent="0.3">
      <c r="A27" s="6">
        <v>26</v>
      </c>
      <c r="B27" s="7" t="s">
        <v>56</v>
      </c>
      <c r="C27" s="6">
        <v>11</v>
      </c>
      <c r="D27" s="6">
        <v>3</v>
      </c>
      <c r="E27" s="7" t="s">
        <v>57</v>
      </c>
      <c r="F27" s="6">
        <v>31.23</v>
      </c>
    </row>
    <row r="28" spans="1:6" x14ac:dyDescent="0.3">
      <c r="A28" s="4">
        <v>27</v>
      </c>
      <c r="B28" s="5" t="s">
        <v>58</v>
      </c>
      <c r="C28" s="4">
        <v>11</v>
      </c>
      <c r="D28" s="4">
        <v>3</v>
      </c>
      <c r="E28" s="5" t="s">
        <v>59</v>
      </c>
      <c r="F28" s="4">
        <v>43.9</v>
      </c>
    </row>
    <row r="29" spans="1:6" x14ac:dyDescent="0.3">
      <c r="A29" s="6">
        <v>28</v>
      </c>
      <c r="B29" s="7" t="s">
        <v>60</v>
      </c>
      <c r="C29" s="6">
        <v>12</v>
      </c>
      <c r="D29" s="6">
        <v>7</v>
      </c>
      <c r="E29" s="7" t="s">
        <v>61</v>
      </c>
      <c r="F29" s="6">
        <v>45.6</v>
      </c>
    </row>
    <row r="30" spans="1:6" ht="23" x14ac:dyDescent="0.3">
      <c r="A30" s="4">
        <v>29</v>
      </c>
      <c r="B30" s="5" t="s">
        <v>62</v>
      </c>
      <c r="C30" s="4">
        <v>12</v>
      </c>
      <c r="D30" s="4">
        <v>6</v>
      </c>
      <c r="E30" s="5" t="s">
        <v>63</v>
      </c>
      <c r="F30" s="4">
        <v>123.79</v>
      </c>
    </row>
    <row r="31" spans="1:6" x14ac:dyDescent="0.3">
      <c r="A31" s="6">
        <v>30</v>
      </c>
      <c r="B31" s="7" t="s">
        <v>64</v>
      </c>
      <c r="C31" s="6">
        <v>13</v>
      </c>
      <c r="D31" s="6">
        <v>8</v>
      </c>
      <c r="E31" s="7" t="s">
        <v>65</v>
      </c>
      <c r="F31" s="6">
        <v>25.89</v>
      </c>
    </row>
    <row r="32" spans="1:6" x14ac:dyDescent="0.3">
      <c r="A32" s="4">
        <v>31</v>
      </c>
      <c r="B32" s="5" t="s">
        <v>66</v>
      </c>
      <c r="C32" s="4">
        <v>14</v>
      </c>
      <c r="D32" s="4">
        <v>4</v>
      </c>
      <c r="E32" s="5" t="s">
        <v>67</v>
      </c>
      <c r="F32" s="4">
        <v>12.5</v>
      </c>
    </row>
    <row r="33" spans="1:6" x14ac:dyDescent="0.3">
      <c r="A33" s="6">
        <v>32</v>
      </c>
      <c r="B33" s="7" t="s">
        <v>68</v>
      </c>
      <c r="C33" s="6">
        <v>14</v>
      </c>
      <c r="D33" s="6">
        <v>4</v>
      </c>
      <c r="E33" s="7" t="s">
        <v>69</v>
      </c>
      <c r="F33" s="6">
        <v>32</v>
      </c>
    </row>
    <row r="34" spans="1:6" x14ac:dyDescent="0.3">
      <c r="A34" s="4">
        <v>33</v>
      </c>
      <c r="B34" s="5" t="s">
        <v>70</v>
      </c>
      <c r="C34" s="4">
        <v>15</v>
      </c>
      <c r="D34" s="4">
        <v>4</v>
      </c>
      <c r="E34" s="5" t="s">
        <v>71</v>
      </c>
      <c r="F34" s="4">
        <v>2.5</v>
      </c>
    </row>
    <row r="35" spans="1:6" x14ac:dyDescent="0.3">
      <c r="A35" s="6">
        <v>34</v>
      </c>
      <c r="B35" s="7" t="s">
        <v>72</v>
      </c>
      <c r="C35" s="6">
        <v>16</v>
      </c>
      <c r="D35" s="6">
        <v>1</v>
      </c>
      <c r="E35" s="7" t="s">
        <v>9</v>
      </c>
      <c r="F35" s="6">
        <v>14</v>
      </c>
    </row>
    <row r="36" spans="1:6" x14ac:dyDescent="0.3">
      <c r="A36" s="4">
        <v>35</v>
      </c>
      <c r="B36" s="5" t="s">
        <v>73</v>
      </c>
      <c r="C36" s="4">
        <v>16</v>
      </c>
      <c r="D36" s="4">
        <v>1</v>
      </c>
      <c r="E36" s="5" t="s">
        <v>9</v>
      </c>
      <c r="F36" s="4">
        <v>18</v>
      </c>
    </row>
    <row r="37" spans="1:6" x14ac:dyDescent="0.3">
      <c r="A37" s="6">
        <v>36</v>
      </c>
      <c r="B37" s="7" t="s">
        <v>74</v>
      </c>
      <c r="C37" s="6">
        <v>17</v>
      </c>
      <c r="D37" s="6">
        <v>8</v>
      </c>
      <c r="E37" s="7" t="s">
        <v>75</v>
      </c>
      <c r="F37" s="6">
        <v>19</v>
      </c>
    </row>
    <row r="38" spans="1:6" x14ac:dyDescent="0.3">
      <c r="A38" s="4">
        <v>37</v>
      </c>
      <c r="B38" s="5" t="s">
        <v>76</v>
      </c>
      <c r="C38" s="4">
        <v>17</v>
      </c>
      <c r="D38" s="4">
        <v>8</v>
      </c>
      <c r="E38" s="5" t="s">
        <v>77</v>
      </c>
      <c r="F38" s="4">
        <v>26</v>
      </c>
    </row>
    <row r="39" spans="1:6" x14ac:dyDescent="0.3">
      <c r="A39" s="6">
        <v>38</v>
      </c>
      <c r="B39" s="7" t="s">
        <v>78</v>
      </c>
      <c r="C39" s="6">
        <v>18</v>
      </c>
      <c r="D39" s="6">
        <v>1</v>
      </c>
      <c r="E39" s="7" t="s">
        <v>79</v>
      </c>
      <c r="F39" s="6">
        <v>263.5</v>
      </c>
    </row>
    <row r="40" spans="1:6" x14ac:dyDescent="0.3">
      <c r="A40" s="4">
        <v>39</v>
      </c>
      <c r="B40" s="5" t="s">
        <v>80</v>
      </c>
      <c r="C40" s="4">
        <v>18</v>
      </c>
      <c r="D40" s="4">
        <v>1</v>
      </c>
      <c r="E40" s="5" t="s">
        <v>81</v>
      </c>
      <c r="F40" s="4">
        <v>18</v>
      </c>
    </row>
    <row r="41" spans="1:6" x14ac:dyDescent="0.3">
      <c r="A41" s="6">
        <v>40</v>
      </c>
      <c r="B41" s="7" t="s">
        <v>82</v>
      </c>
      <c r="C41" s="6">
        <v>19</v>
      </c>
      <c r="D41" s="6">
        <v>8</v>
      </c>
      <c r="E41" s="7" t="s">
        <v>83</v>
      </c>
      <c r="F41" s="6">
        <v>18.399999999999999</v>
      </c>
    </row>
    <row r="42" spans="1:6" ht="23" x14ac:dyDescent="0.3">
      <c r="A42" s="4">
        <v>41</v>
      </c>
      <c r="B42" s="5" t="s">
        <v>84</v>
      </c>
      <c r="C42" s="4">
        <v>19</v>
      </c>
      <c r="D42" s="4">
        <v>8</v>
      </c>
      <c r="E42" s="5" t="s">
        <v>85</v>
      </c>
      <c r="F42" s="4">
        <v>9.65</v>
      </c>
    </row>
    <row r="43" spans="1:6" ht="23" x14ac:dyDescent="0.3">
      <c r="A43" s="6">
        <v>42</v>
      </c>
      <c r="B43" s="7" t="s">
        <v>86</v>
      </c>
      <c r="C43" s="6">
        <v>20</v>
      </c>
      <c r="D43" s="6">
        <v>5</v>
      </c>
      <c r="E43" s="7" t="s">
        <v>87</v>
      </c>
      <c r="F43" s="6">
        <v>14</v>
      </c>
    </row>
    <row r="44" spans="1:6" x14ac:dyDescent="0.3">
      <c r="A44" s="4">
        <v>43</v>
      </c>
      <c r="B44" s="5" t="s">
        <v>88</v>
      </c>
      <c r="C44" s="4">
        <v>20</v>
      </c>
      <c r="D44" s="4">
        <v>1</v>
      </c>
      <c r="E44" s="5" t="s">
        <v>89</v>
      </c>
      <c r="F44" s="4">
        <v>46</v>
      </c>
    </row>
    <row r="45" spans="1:6" x14ac:dyDescent="0.3">
      <c r="A45" s="6">
        <v>44</v>
      </c>
      <c r="B45" s="7" t="s">
        <v>90</v>
      </c>
      <c r="C45" s="6">
        <v>20</v>
      </c>
      <c r="D45" s="6">
        <v>2</v>
      </c>
      <c r="E45" s="7" t="s">
        <v>91</v>
      </c>
      <c r="F45" s="6">
        <v>19.45</v>
      </c>
    </row>
    <row r="46" spans="1:6" x14ac:dyDescent="0.3">
      <c r="A46" s="4">
        <v>45</v>
      </c>
      <c r="B46" s="5" t="s">
        <v>92</v>
      </c>
      <c r="C46" s="4">
        <v>21</v>
      </c>
      <c r="D46" s="4">
        <v>8</v>
      </c>
      <c r="E46" s="5" t="s">
        <v>93</v>
      </c>
      <c r="F46" s="4">
        <v>9.5</v>
      </c>
    </row>
    <row r="47" spans="1:6" x14ac:dyDescent="0.3">
      <c r="A47" s="6">
        <v>46</v>
      </c>
      <c r="B47" s="7" t="s">
        <v>94</v>
      </c>
      <c r="C47" s="6">
        <v>21</v>
      </c>
      <c r="D47" s="6">
        <v>8</v>
      </c>
      <c r="E47" s="7" t="s">
        <v>95</v>
      </c>
      <c r="F47" s="6">
        <v>12</v>
      </c>
    </row>
    <row r="48" spans="1:6" x14ac:dyDescent="0.3">
      <c r="A48" s="4">
        <v>47</v>
      </c>
      <c r="B48" s="5" t="s">
        <v>96</v>
      </c>
      <c r="C48" s="4">
        <v>22</v>
      </c>
      <c r="D48" s="4">
        <v>3</v>
      </c>
      <c r="E48" s="5" t="s">
        <v>97</v>
      </c>
      <c r="F48" s="4">
        <v>9.5</v>
      </c>
    </row>
    <row r="49" spans="1:6" x14ac:dyDescent="0.3">
      <c r="A49" s="6">
        <v>48</v>
      </c>
      <c r="B49" s="7" t="s">
        <v>98</v>
      </c>
      <c r="C49" s="6">
        <v>22</v>
      </c>
      <c r="D49" s="6">
        <v>3</v>
      </c>
      <c r="E49" s="7" t="s">
        <v>99</v>
      </c>
      <c r="F49" s="6">
        <v>12.75</v>
      </c>
    </row>
    <row r="50" spans="1:6" x14ac:dyDescent="0.3">
      <c r="A50" s="4">
        <v>49</v>
      </c>
      <c r="B50" s="5" t="s">
        <v>100</v>
      </c>
      <c r="C50" s="4">
        <v>23</v>
      </c>
      <c r="D50" s="4">
        <v>3</v>
      </c>
      <c r="E50" s="5" t="s">
        <v>101</v>
      </c>
      <c r="F50" s="4">
        <v>20</v>
      </c>
    </row>
    <row r="51" spans="1:6" x14ac:dyDescent="0.3">
      <c r="A51" s="6">
        <v>50</v>
      </c>
      <c r="B51" s="7" t="s">
        <v>102</v>
      </c>
      <c r="C51" s="6">
        <v>23</v>
      </c>
      <c r="D51" s="6">
        <v>3</v>
      </c>
      <c r="E51" s="7" t="s">
        <v>103</v>
      </c>
      <c r="F51" s="6">
        <v>16.25</v>
      </c>
    </row>
    <row r="52" spans="1:6" x14ac:dyDescent="0.3">
      <c r="A52" s="4">
        <v>51</v>
      </c>
      <c r="B52" s="5" t="s">
        <v>104</v>
      </c>
      <c r="C52" s="4">
        <v>24</v>
      </c>
      <c r="D52" s="4">
        <v>7</v>
      </c>
      <c r="E52" s="5" t="s">
        <v>105</v>
      </c>
      <c r="F52" s="4">
        <v>53</v>
      </c>
    </row>
    <row r="53" spans="1:6" x14ac:dyDescent="0.3">
      <c r="A53" s="6">
        <v>52</v>
      </c>
      <c r="B53" s="7" t="s">
        <v>106</v>
      </c>
      <c r="C53" s="6">
        <v>24</v>
      </c>
      <c r="D53" s="6">
        <v>5</v>
      </c>
      <c r="E53" s="7" t="s">
        <v>107</v>
      </c>
      <c r="F53" s="6">
        <v>7</v>
      </c>
    </row>
    <row r="54" spans="1:6" x14ac:dyDescent="0.3">
      <c r="A54" s="4">
        <v>53</v>
      </c>
      <c r="B54" s="5" t="s">
        <v>108</v>
      </c>
      <c r="C54" s="4">
        <v>24</v>
      </c>
      <c r="D54" s="4">
        <v>6</v>
      </c>
      <c r="E54" s="5" t="s">
        <v>109</v>
      </c>
      <c r="F54" s="4">
        <v>32.799999999999997</v>
      </c>
    </row>
    <row r="55" spans="1:6" x14ac:dyDescent="0.3">
      <c r="A55" s="6">
        <v>54</v>
      </c>
      <c r="B55" s="7" t="s">
        <v>110</v>
      </c>
      <c r="C55" s="6">
        <v>25</v>
      </c>
      <c r="D55" s="6">
        <v>6</v>
      </c>
      <c r="E55" s="7" t="s">
        <v>111</v>
      </c>
      <c r="F55" s="6">
        <v>7.45</v>
      </c>
    </row>
    <row r="56" spans="1:6" x14ac:dyDescent="0.3">
      <c r="A56" s="4">
        <v>55</v>
      </c>
      <c r="B56" s="5" t="s">
        <v>112</v>
      </c>
      <c r="C56" s="4">
        <v>25</v>
      </c>
      <c r="D56" s="4">
        <v>6</v>
      </c>
      <c r="E56" s="5" t="s">
        <v>113</v>
      </c>
      <c r="F56" s="4">
        <v>24</v>
      </c>
    </row>
    <row r="57" spans="1:6" x14ac:dyDescent="0.3">
      <c r="A57" s="6">
        <v>56</v>
      </c>
      <c r="B57" s="7" t="s">
        <v>114</v>
      </c>
      <c r="C57" s="6">
        <v>26</v>
      </c>
      <c r="D57" s="6">
        <v>5</v>
      </c>
      <c r="E57" s="7" t="s">
        <v>115</v>
      </c>
      <c r="F57" s="6">
        <v>38</v>
      </c>
    </row>
    <row r="58" spans="1:6" x14ac:dyDescent="0.3">
      <c r="A58" s="4">
        <v>57</v>
      </c>
      <c r="B58" s="5" t="s">
        <v>116</v>
      </c>
      <c r="C58" s="4">
        <v>26</v>
      </c>
      <c r="D58" s="4">
        <v>5</v>
      </c>
      <c r="E58" s="5" t="s">
        <v>115</v>
      </c>
      <c r="F58" s="4">
        <v>19.5</v>
      </c>
    </row>
    <row r="59" spans="1:6" ht="23" x14ac:dyDescent="0.3">
      <c r="A59" s="6">
        <v>58</v>
      </c>
      <c r="B59" s="7" t="s">
        <v>117</v>
      </c>
      <c r="C59" s="6">
        <v>27</v>
      </c>
      <c r="D59" s="6">
        <v>8</v>
      </c>
      <c r="E59" s="7" t="s">
        <v>118</v>
      </c>
      <c r="F59" s="6">
        <v>13.25</v>
      </c>
    </row>
    <row r="60" spans="1:6" x14ac:dyDescent="0.3">
      <c r="A60" s="4">
        <v>59</v>
      </c>
      <c r="B60" s="5" t="s">
        <v>119</v>
      </c>
      <c r="C60" s="4">
        <v>28</v>
      </c>
      <c r="D60" s="4">
        <v>4</v>
      </c>
      <c r="E60" s="5" t="s">
        <v>120</v>
      </c>
      <c r="F60" s="4">
        <v>55</v>
      </c>
    </row>
    <row r="61" spans="1:6" x14ac:dyDescent="0.3">
      <c r="A61" s="6">
        <v>60</v>
      </c>
      <c r="B61" s="7" t="s">
        <v>121</v>
      </c>
      <c r="C61" s="6">
        <v>28</v>
      </c>
      <c r="D61" s="6">
        <v>4</v>
      </c>
      <c r="E61" s="7" t="s">
        <v>122</v>
      </c>
      <c r="F61" s="6">
        <v>34</v>
      </c>
    </row>
    <row r="62" spans="1:6" x14ac:dyDescent="0.3">
      <c r="A62" s="4">
        <v>61</v>
      </c>
      <c r="B62" s="5" t="s">
        <v>123</v>
      </c>
      <c r="C62" s="4">
        <v>29</v>
      </c>
      <c r="D62" s="4">
        <v>2</v>
      </c>
      <c r="E62" s="5" t="s">
        <v>124</v>
      </c>
      <c r="F62" s="4">
        <v>28.5</v>
      </c>
    </row>
    <row r="63" spans="1:6" x14ac:dyDescent="0.3">
      <c r="A63" s="6">
        <v>62</v>
      </c>
      <c r="B63" s="7" t="s">
        <v>125</v>
      </c>
      <c r="C63" s="6">
        <v>29</v>
      </c>
      <c r="D63" s="6">
        <v>3</v>
      </c>
      <c r="E63" s="7" t="s">
        <v>126</v>
      </c>
      <c r="F63" s="6">
        <v>49.3</v>
      </c>
    </row>
    <row r="64" spans="1:6" x14ac:dyDescent="0.3">
      <c r="A64" s="4">
        <v>63</v>
      </c>
      <c r="B64" s="5" t="s">
        <v>127</v>
      </c>
      <c r="C64" s="4">
        <v>7</v>
      </c>
      <c r="D64" s="4">
        <v>2</v>
      </c>
      <c r="E64" s="5" t="s">
        <v>128</v>
      </c>
      <c r="F64" s="4">
        <v>43.9</v>
      </c>
    </row>
    <row r="65" spans="1:6" ht="23" x14ac:dyDescent="0.3">
      <c r="A65" s="6">
        <v>64</v>
      </c>
      <c r="B65" s="7" t="s">
        <v>129</v>
      </c>
      <c r="C65" s="6">
        <v>12</v>
      </c>
      <c r="D65" s="6">
        <v>5</v>
      </c>
      <c r="E65" s="7" t="s">
        <v>130</v>
      </c>
      <c r="F65" s="6">
        <v>33.25</v>
      </c>
    </row>
    <row r="66" spans="1:6" ht="23" x14ac:dyDescent="0.3">
      <c r="A66" s="4">
        <v>65</v>
      </c>
      <c r="B66" s="5" t="s">
        <v>131</v>
      </c>
      <c r="C66" s="4">
        <v>2</v>
      </c>
      <c r="D66" s="4">
        <v>2</v>
      </c>
      <c r="E66" s="5" t="s">
        <v>132</v>
      </c>
      <c r="F66" s="4">
        <v>21.05</v>
      </c>
    </row>
    <row r="67" spans="1:6" ht="23" x14ac:dyDescent="0.3">
      <c r="A67" s="6">
        <v>66</v>
      </c>
      <c r="B67" s="7" t="s">
        <v>133</v>
      </c>
      <c r="C67" s="6">
        <v>2</v>
      </c>
      <c r="D67" s="6">
        <v>2</v>
      </c>
      <c r="E67" s="7" t="s">
        <v>134</v>
      </c>
      <c r="F67" s="6">
        <v>17</v>
      </c>
    </row>
    <row r="68" spans="1:6" ht="23" x14ac:dyDescent="0.3">
      <c r="A68" s="4">
        <v>67</v>
      </c>
      <c r="B68" s="5" t="s">
        <v>135</v>
      </c>
      <c r="C68" s="4">
        <v>16</v>
      </c>
      <c r="D68" s="4">
        <v>1</v>
      </c>
      <c r="E68" s="5" t="s">
        <v>9</v>
      </c>
      <c r="F68" s="4">
        <v>14</v>
      </c>
    </row>
    <row r="69" spans="1:6" x14ac:dyDescent="0.3">
      <c r="A69" s="6">
        <v>68</v>
      </c>
      <c r="B69" s="7" t="s">
        <v>136</v>
      </c>
      <c r="C69" s="6">
        <v>8</v>
      </c>
      <c r="D69" s="6">
        <v>3</v>
      </c>
      <c r="E69" s="7" t="s">
        <v>137</v>
      </c>
      <c r="F69" s="6">
        <v>12.5</v>
      </c>
    </row>
    <row r="70" spans="1:6" x14ac:dyDescent="0.3">
      <c r="A70" s="4">
        <v>69</v>
      </c>
      <c r="B70" s="5" t="s">
        <v>138</v>
      </c>
      <c r="C70" s="4">
        <v>15</v>
      </c>
      <c r="D70" s="4">
        <v>4</v>
      </c>
      <c r="E70" s="5" t="s">
        <v>139</v>
      </c>
      <c r="F70" s="4">
        <v>36</v>
      </c>
    </row>
    <row r="71" spans="1:6" x14ac:dyDescent="0.3">
      <c r="A71" s="6">
        <v>70</v>
      </c>
      <c r="B71" s="7" t="s">
        <v>140</v>
      </c>
      <c r="C71" s="6">
        <v>7</v>
      </c>
      <c r="D71" s="6">
        <v>1</v>
      </c>
      <c r="E71" s="7" t="s">
        <v>141</v>
      </c>
      <c r="F71" s="6">
        <v>15</v>
      </c>
    </row>
    <row r="72" spans="1:6" x14ac:dyDescent="0.3">
      <c r="A72" s="4">
        <v>71</v>
      </c>
      <c r="B72" s="5" t="s">
        <v>142</v>
      </c>
      <c r="C72" s="4">
        <v>15</v>
      </c>
      <c r="D72" s="4">
        <v>4</v>
      </c>
      <c r="E72" s="5" t="s">
        <v>29</v>
      </c>
      <c r="F72" s="4">
        <v>21.5</v>
      </c>
    </row>
    <row r="73" spans="1:6" x14ac:dyDescent="0.3">
      <c r="A73" s="6">
        <v>72</v>
      </c>
      <c r="B73" s="7" t="s">
        <v>143</v>
      </c>
      <c r="C73" s="6">
        <v>14</v>
      </c>
      <c r="D73" s="6">
        <v>4</v>
      </c>
      <c r="E73" s="7" t="s">
        <v>69</v>
      </c>
      <c r="F73" s="6">
        <v>34.799999999999997</v>
      </c>
    </row>
    <row r="74" spans="1:6" x14ac:dyDescent="0.3">
      <c r="A74" s="4">
        <v>73</v>
      </c>
      <c r="B74" s="5" t="s">
        <v>144</v>
      </c>
      <c r="C74" s="4">
        <v>17</v>
      </c>
      <c r="D74" s="4">
        <v>8</v>
      </c>
      <c r="E74" s="5" t="s">
        <v>145</v>
      </c>
      <c r="F74" s="4">
        <v>15</v>
      </c>
    </row>
    <row r="75" spans="1:6" x14ac:dyDescent="0.3">
      <c r="A75" s="6">
        <v>74</v>
      </c>
      <c r="B75" s="7" t="s">
        <v>146</v>
      </c>
      <c r="C75" s="6">
        <v>4</v>
      </c>
      <c r="D75" s="6">
        <v>7</v>
      </c>
      <c r="E75" s="7" t="s">
        <v>120</v>
      </c>
      <c r="F75" s="6">
        <v>10</v>
      </c>
    </row>
    <row r="76" spans="1:6" x14ac:dyDescent="0.3">
      <c r="A76" s="4">
        <v>75</v>
      </c>
      <c r="B76" s="5" t="s">
        <v>147</v>
      </c>
      <c r="C76" s="4">
        <v>12</v>
      </c>
      <c r="D76" s="4">
        <v>1</v>
      </c>
      <c r="E76" s="5" t="s">
        <v>148</v>
      </c>
      <c r="F76" s="4">
        <v>7.75</v>
      </c>
    </row>
    <row r="77" spans="1:6" x14ac:dyDescent="0.3">
      <c r="A77" s="6">
        <v>76</v>
      </c>
      <c r="B77" s="7" t="s">
        <v>149</v>
      </c>
      <c r="C77" s="6">
        <v>23</v>
      </c>
      <c r="D77" s="6">
        <v>1</v>
      </c>
      <c r="E77" s="7" t="s">
        <v>150</v>
      </c>
      <c r="F77" s="6">
        <v>18</v>
      </c>
    </row>
    <row r="78" spans="1:6" ht="23" x14ac:dyDescent="0.3">
      <c r="A78" s="4">
        <v>77</v>
      </c>
      <c r="B78" s="5" t="s">
        <v>151</v>
      </c>
      <c r="C78" s="4">
        <v>12</v>
      </c>
      <c r="D78" s="4">
        <v>2</v>
      </c>
      <c r="E78" s="5" t="s">
        <v>152</v>
      </c>
      <c r="F78" s="4">
        <v>13</v>
      </c>
    </row>
  </sheetData>
  <conditionalFormatting sqref="F2:F7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{51F52AC8-A183-46C0-8AD3-9B9263C87829}</x14:id>
        </ext>
      </extLst>
    </cfRule>
    <cfRule type="duplicateValues" dxfId="0" priority="3"/>
    <cfRule type="duplicateValues" priority="4"/>
  </conditionalFormatting>
  <conditionalFormatting sqref="C2:C78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F52AC8-A183-46C0-8AD3-9B9263C87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87C5-20CB-48FC-8FA5-0800071023CE}">
  <dimension ref="A2:B22"/>
  <sheetViews>
    <sheetView workbookViewId="0">
      <selection activeCell="B20" sqref="B20"/>
    </sheetView>
  </sheetViews>
  <sheetFormatPr defaultRowHeight="14.55" x14ac:dyDescent="0.3"/>
  <cols>
    <col min="1" max="1" width="14.6640625" customWidth="1"/>
    <col min="2" max="2" width="10.109375" bestFit="1" customWidth="1"/>
  </cols>
  <sheetData>
    <row r="2" spans="1:2" x14ac:dyDescent="0.3">
      <c r="A2" s="11" t="s">
        <v>153</v>
      </c>
      <c r="B2" s="10">
        <f>SUM(Table1[Price])</f>
        <v>2222.71</v>
      </c>
    </row>
    <row r="3" spans="1:2" x14ac:dyDescent="0.3">
      <c r="A3" s="11" t="s">
        <v>154</v>
      </c>
      <c r="B3" s="9">
        <f>AVERAGE(Table1[Price])</f>
        <v>28.866363636363637</v>
      </c>
    </row>
    <row r="4" spans="1:2" x14ac:dyDescent="0.3">
      <c r="A4" s="11" t="s">
        <v>155</v>
      </c>
      <c r="B4" s="10">
        <f>MAX(Table1[Price])</f>
        <v>263.5</v>
      </c>
    </row>
    <row r="5" spans="1:2" x14ac:dyDescent="0.3">
      <c r="A5" s="11" t="s">
        <v>156</v>
      </c>
      <c r="B5" s="10">
        <f>MIN(Table1[Price])</f>
        <v>2.5</v>
      </c>
    </row>
    <row r="19" spans="1:2" x14ac:dyDescent="0.3">
      <c r="A19" s="11" t="s">
        <v>157</v>
      </c>
      <c r="B19" s="8">
        <f>SUM(Table1[SupplierID])</f>
        <v>1051</v>
      </c>
    </row>
    <row r="20" spans="1:2" x14ac:dyDescent="0.3">
      <c r="A20" s="11" t="s">
        <v>158</v>
      </c>
      <c r="B20" s="12">
        <f>AVERAGE(Table1[SupplierID])</f>
        <v>13.64935064935065</v>
      </c>
    </row>
    <row r="21" spans="1:2" x14ac:dyDescent="0.3">
      <c r="A21" s="11" t="s">
        <v>159</v>
      </c>
      <c r="B21" s="8">
        <f>MAX(Table1[SupplierID])</f>
        <v>29</v>
      </c>
    </row>
    <row r="22" spans="1:2" x14ac:dyDescent="0.3">
      <c r="A22" s="11" t="s">
        <v>160</v>
      </c>
      <c r="B22" s="8">
        <f>MIN(Table1[SupplierID])</f>
        <v>1</v>
      </c>
    </row>
  </sheetData>
  <conditionalFormatting sqref="A2:B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{94D9B4EB-A2CA-4A6F-B8D3-A3D7CC3EF30A}</x14:id>
        </ext>
      </extLst>
    </cfRule>
  </conditionalFormatting>
  <conditionalFormatting sqref="B19:B2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{DE288BCB-256F-48F1-8B2B-FD462155034D}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D9B4EB-A2CA-4A6F-B8D3-A3D7CC3EF3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A2:B5</xm:sqref>
        </x14:conditionalFormatting>
        <x14:conditionalFormatting xmlns:xm="http://schemas.microsoft.com/office/excel/2006/main">
          <x14:cfRule type="dataBar" id="{DE288BCB-256F-48F1-8B2B-FD46215503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B19:B22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Franklin Annor</cp:lastModifiedBy>
  <dcterms:created xsi:type="dcterms:W3CDTF">2026-03-25T20:04:20Z</dcterms:created>
  <dcterms:modified xsi:type="dcterms:W3CDTF">2026-03-26T19:00:25Z</dcterms:modified>
</cp:coreProperties>
</file>